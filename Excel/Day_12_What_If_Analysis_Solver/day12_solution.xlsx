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Excel Repo/"/>
    </mc:Choice>
  </mc:AlternateContent>
  <xr:revisionPtr revIDLastSave="0" documentId="8_{69F8D646-8CED-4066-91AF-FA920E5D74CC}" xr6:coauthVersionLast="45" xr6:coauthVersionMax="45" xr10:uidLastSave="{00000000-0000-0000-0000-000000000000}"/>
  <bookViews>
    <workbookView xWindow="-113" yWindow="-113" windowWidth="24267" windowHeight="13023" activeTab="6" xr2:uid="{00000000-000D-0000-FFFF-FFFF00000000}"/>
  </bookViews>
  <sheets>
    <sheet name="Read_Me" sheetId="1" r:id="rId1"/>
    <sheet name="What_If_Model" sheetId="2" r:id="rId2"/>
    <sheet name="Goal_Seek_Reference" sheetId="3" r:id="rId3"/>
    <sheet name="One_Variable_Table" sheetId="4" r:id="rId4"/>
    <sheet name="Two_Variable_Table" sheetId="5" r:id="rId5"/>
    <sheet name="Scenario_Summary" sheetId="6" r:id="rId6"/>
    <sheet name="Solver_Model" sheetId="7" r:id="rId7"/>
    <sheet name="Dataset_Reference" sheetId="8" r:id="rId8"/>
  </sheets>
  <definedNames>
    <definedName name="_xlnm._FilterDatabase" localSheetId="7" hidden="1">Dataset_Reference!$A$1:$B$5</definedName>
    <definedName name="_xlnm._FilterDatabase" localSheetId="2" hidden="1">Goal_Seek_Reference!$A$1:$B$8</definedName>
    <definedName name="_xlnm._FilterDatabase" localSheetId="3" hidden="1">One_Variable_Table!$A$1:$D$10</definedName>
    <definedName name="_xlnm._FilterDatabase" localSheetId="5" hidden="1">Scenario_Summary!$A$1:$H$4</definedName>
    <definedName name="_xlnm._FilterDatabase" localSheetId="4" hidden="1">Two_Variable_Table!$A$1:$E$26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7" l="1"/>
  <c r="B5" i="7"/>
  <c r="B10" i="2"/>
  <c r="B12" i="2" s="1"/>
  <c r="B6" i="2"/>
  <c r="B7" i="2" l="1"/>
  <c r="B8" i="2" s="1"/>
  <c r="B11" i="2"/>
</calcChain>
</file>

<file path=xl/sharedStrings.xml><?xml version="1.0" encoding="utf-8"?>
<sst xmlns="http://schemas.openxmlformats.org/spreadsheetml/2006/main" count="103" uniqueCount="83">
  <si>
    <t>Day 12 — What-If Analysis &amp; Solver | Solution Reference</t>
  </si>
  <si>
    <t>Dataset</t>
  </si>
  <si>
    <t>Sales_data 10K.xlsx</t>
  </si>
  <si>
    <t>Source sales rows</t>
  </si>
  <si>
    <t>Source gross sales (Quantity × Unit_Price)</t>
  </si>
  <si>
    <t>Source quantity total</t>
  </si>
  <si>
    <t>Model warning</t>
  </si>
  <si>
    <t>The dataset does not provide a verified cost field in this model. The 70% cost rate and scenario assumptions below are illustrative, not actual business costs.</t>
  </si>
  <si>
    <t>Model structure</t>
  </si>
  <si>
    <t>Revenue = Units × Selling Price; Estimated Cost = Revenue × Assumed Cost Rate; Estimated Profit = Revenue − Estimated Cost − Fixed Cost.</t>
  </si>
  <si>
    <t>Base case assumptions</t>
  </si>
  <si>
    <t>Units=1000; Price=500; Assumed Cost Rate=70%; Fixed Cost=0. These are demonstration inputs, not dataset facts.</t>
  </si>
  <si>
    <t>Native Excel features</t>
  </si>
  <si>
    <t>Goal Seek, Data Tables, Scenario Manager, and Solver are not embedded as active Excel what-if objects. Use the prepared formulas and reference results to recreate them in Excel.</t>
  </si>
  <si>
    <t>Use</t>
  </si>
  <si>
    <t>Reference workbook for checking your own Day 12 assignment; change assumptions and test formulas.</t>
  </si>
  <si>
    <t>Input / Output</t>
  </si>
  <si>
    <t>Value</t>
  </si>
  <si>
    <t>Notes</t>
  </si>
  <si>
    <t>Units</t>
  </si>
  <si>
    <t>Assumed decision input</t>
  </si>
  <si>
    <t>Selling Price</t>
  </si>
  <si>
    <t>Assumed input per unit</t>
  </si>
  <si>
    <t>Assumed Cost Rate</t>
  </si>
  <si>
    <t>Illustrative assumption; not source data</t>
  </si>
  <si>
    <t>Fixed Cost</t>
  </si>
  <si>
    <t>Assumed fixed cost</t>
  </si>
  <si>
    <t>Revenue</t>
  </si>
  <si>
    <t>Units × Selling Price</t>
  </si>
  <si>
    <t>Estimated Cost</t>
  </si>
  <si>
    <t>Revenue × Assumed Cost Rate</t>
  </si>
  <si>
    <t>Estimated Profit</t>
  </si>
  <si>
    <t>Revenue − Estimated Cost − Fixed Cost</t>
  </si>
  <si>
    <t>Target Profit</t>
  </si>
  <si>
    <t>Example Goal Seek target</t>
  </si>
  <si>
    <t>Required Revenue (reference)</t>
  </si>
  <si>
    <t>Algebraic equivalent for this simple model</t>
  </si>
  <si>
    <t>Required Units at current price</t>
  </si>
  <si>
    <t>Goal Seek reference result</t>
  </si>
  <si>
    <t>Required Price at current units</t>
  </si>
  <si>
    <t>Goal Seek setup</t>
  </si>
  <si>
    <t>Set cell</t>
  </si>
  <si>
    <t>What_If_Model!B8 (Estimated Profit)</t>
  </si>
  <si>
    <t>To value</t>
  </si>
  <si>
    <t>By changing cell</t>
  </si>
  <si>
    <t>What_If_Model!B2 (Units) or B3 (Selling Price), one at a time</t>
  </si>
  <si>
    <t>Required revenue</t>
  </si>
  <si>
    <t>Required units at price 500</t>
  </si>
  <si>
    <t>Required price at 1000 units</t>
  </si>
  <si>
    <t>Verification</t>
  </si>
  <si>
    <t>At the calculated input, estimated profit reaches the target (subject to rounding).</t>
  </si>
  <si>
    <t>Price</t>
  </si>
  <si>
    <t>Scenario</t>
  </si>
  <si>
    <t>Base Case</t>
  </si>
  <si>
    <t>Growth Case</t>
  </si>
  <si>
    <t>Cost Pressure</t>
  </si>
  <si>
    <t>Solver model (illustrative)</t>
  </si>
  <si>
    <t>Product A</t>
  </si>
  <si>
    <t>Product B</t>
  </si>
  <si>
    <t>Units to produce</t>
  </si>
  <si>
    <t>Changing cells; Solver chooses quantities</t>
  </si>
  <si>
    <t>Profit per unit</t>
  </si>
  <si>
    <t>Illustrative assumptions</t>
  </si>
  <si>
    <t>Hours per unit</t>
  </si>
  <si>
    <t>Total profit</t>
  </si>
  <si>
    <t>Objective: maximize B5</t>
  </si>
  <si>
    <t>Hours used</t>
  </si>
  <si>
    <t>Constraint: &lt;= 1000</t>
  </si>
  <si>
    <t>Capacity limit</t>
  </si>
  <si>
    <t>Assumed resource limit</t>
  </si>
  <si>
    <t>Non-negative constraint</t>
  </si>
  <si>
    <t>B2&gt;=0 and C2&gt;=0</t>
  </si>
  <si>
    <t>Set each changing cell &gt;= 0; integer constraint optional</t>
  </si>
  <si>
    <t>One optimal solution (reference)</t>
  </si>
  <si>
    <t>If only the listed capacity constraint and non-negativity apply, Product B yields 90/hour vs A 60/hour.</t>
  </si>
  <si>
    <t>Reference total profit</t>
  </si>
  <si>
    <t>Under this illustrative model.</t>
  </si>
  <si>
    <t>Metric</t>
  </si>
  <si>
    <t>Record count</t>
  </si>
  <si>
    <t>Gross sales (Qty × Unit_Price)</t>
  </si>
  <si>
    <t>Quantity total</t>
  </si>
  <si>
    <t>Note</t>
  </si>
  <si>
    <t>Source descriptive summary only; modeled profit uses separate illustrative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</si>
</sst>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.05" x14ac:dyDescent="0.3"/>
  <cols>
    <col min="1" max="2" width="48" customWidth="1"/>
  </cols>
  <sheetData>
    <row r="1" spans="1:2" ht="30.05" customHeight="1" x14ac:dyDescent="0.3">
      <c r="A1" s="1" t="s">
        <v>0</v>
      </c>
      <c r="B1" s="1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>
        <v>10025</v>
      </c>
    </row>
    <row r="4" spans="1:2" x14ac:dyDescent="0.3">
      <c r="A4" s="2" t="s">
        <v>4</v>
      </c>
      <c r="B4" s="2">
        <v>439777559.38999999</v>
      </c>
    </row>
    <row r="5" spans="1:2" x14ac:dyDescent="0.3">
      <c r="A5" s="2" t="s">
        <v>5</v>
      </c>
      <c r="B5" s="2">
        <v>32416</v>
      </c>
    </row>
    <row r="6" spans="1:2" ht="45.1" x14ac:dyDescent="0.3">
      <c r="A6" s="2" t="s">
        <v>6</v>
      </c>
      <c r="B6" s="2" t="s">
        <v>7</v>
      </c>
    </row>
    <row r="7" spans="1:2" ht="45.1" x14ac:dyDescent="0.3">
      <c r="A7" s="2" t="s">
        <v>8</v>
      </c>
      <c r="B7" s="2" t="s">
        <v>9</v>
      </c>
    </row>
    <row r="8" spans="1:2" ht="45.1" x14ac:dyDescent="0.3">
      <c r="A8" s="2" t="s">
        <v>10</v>
      </c>
      <c r="B8" s="2" t="s">
        <v>11</v>
      </c>
    </row>
    <row r="9" spans="1:2" ht="60.1" x14ac:dyDescent="0.3">
      <c r="A9" s="2" t="s">
        <v>12</v>
      </c>
      <c r="B9" s="2" t="s">
        <v>13</v>
      </c>
    </row>
    <row r="10" spans="1:2" ht="30.05" x14ac:dyDescent="0.3">
      <c r="A10" s="2" t="s">
        <v>14</v>
      </c>
      <c r="B10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.05" x14ac:dyDescent="0.3"/>
  <cols>
    <col min="1" max="1" width="33" customWidth="1"/>
    <col min="2" max="2" width="17" customWidth="1"/>
    <col min="3" max="3" width="44" customWidth="1"/>
  </cols>
  <sheetData>
    <row r="1" spans="1:3" ht="30.05" customHeight="1" x14ac:dyDescent="0.3">
      <c r="A1" s="1" t="s">
        <v>16</v>
      </c>
      <c r="B1" s="1" t="s">
        <v>17</v>
      </c>
      <c r="C1" s="1" t="s">
        <v>18</v>
      </c>
    </row>
    <row r="2" spans="1:3" x14ac:dyDescent="0.3">
      <c r="A2" s="2" t="s">
        <v>19</v>
      </c>
      <c r="B2" s="2">
        <v>1000</v>
      </c>
      <c r="C2" s="2" t="s">
        <v>20</v>
      </c>
    </row>
    <row r="3" spans="1:3" x14ac:dyDescent="0.3">
      <c r="A3" s="2" t="s">
        <v>21</v>
      </c>
      <c r="B3" s="2">
        <v>500</v>
      </c>
      <c r="C3" s="2" t="s">
        <v>22</v>
      </c>
    </row>
    <row r="4" spans="1:3" x14ac:dyDescent="0.3">
      <c r="A4" s="2" t="s">
        <v>23</v>
      </c>
      <c r="B4" s="2">
        <v>0.7</v>
      </c>
      <c r="C4" s="2" t="s">
        <v>24</v>
      </c>
    </row>
    <row r="5" spans="1:3" x14ac:dyDescent="0.3">
      <c r="A5" s="2" t="s">
        <v>25</v>
      </c>
      <c r="B5" s="2">
        <v>0</v>
      </c>
      <c r="C5" s="2" t="s">
        <v>26</v>
      </c>
    </row>
    <row r="6" spans="1:3" x14ac:dyDescent="0.3">
      <c r="A6" s="2" t="s">
        <v>27</v>
      </c>
      <c r="B6" s="2">
        <f>B2*B3</f>
        <v>500000</v>
      </c>
      <c r="C6" s="2" t="s">
        <v>28</v>
      </c>
    </row>
    <row r="7" spans="1:3" x14ac:dyDescent="0.3">
      <c r="A7" s="2" t="s">
        <v>29</v>
      </c>
      <c r="B7" s="2">
        <f>B6*B4</f>
        <v>350000</v>
      </c>
      <c r="C7" s="2" t="s">
        <v>30</v>
      </c>
    </row>
    <row r="8" spans="1:3" x14ac:dyDescent="0.3">
      <c r="A8" s="2" t="s">
        <v>31</v>
      </c>
      <c r="B8" s="2">
        <f>B6-B7-B5</f>
        <v>150000</v>
      </c>
      <c r="C8" s="2" t="s">
        <v>32</v>
      </c>
    </row>
    <row r="9" spans="1:3" x14ac:dyDescent="0.3">
      <c r="A9" s="2" t="s">
        <v>33</v>
      </c>
      <c r="B9" s="2">
        <v>1000000</v>
      </c>
      <c r="C9" s="2" t="s">
        <v>34</v>
      </c>
    </row>
    <row r="10" spans="1:3" x14ac:dyDescent="0.3">
      <c r="A10" s="2" t="s">
        <v>35</v>
      </c>
      <c r="B10" s="2">
        <f>(B9+B5)/(1-B4)</f>
        <v>3333333.333333333</v>
      </c>
      <c r="C10" s="2" t="s">
        <v>36</v>
      </c>
    </row>
    <row r="11" spans="1:3" x14ac:dyDescent="0.3">
      <c r="A11" s="2" t="s">
        <v>37</v>
      </c>
      <c r="B11" s="2">
        <f>B10/B3</f>
        <v>6666.6666666666661</v>
      </c>
      <c r="C11" s="2" t="s">
        <v>38</v>
      </c>
    </row>
    <row r="12" spans="1:3" x14ac:dyDescent="0.3">
      <c r="A12" s="2" t="s">
        <v>39</v>
      </c>
      <c r="B12" s="2">
        <f>B10/B2</f>
        <v>3333.333333333333</v>
      </c>
      <c r="C12" s="2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30" customWidth="1"/>
    <col min="2" max="2" width="48" customWidth="1"/>
  </cols>
  <sheetData>
    <row r="1" spans="1:2" ht="30.05" customHeight="1" x14ac:dyDescent="0.3">
      <c r="A1" s="1" t="s">
        <v>40</v>
      </c>
      <c r="B1" s="1" t="s">
        <v>17</v>
      </c>
    </row>
    <row r="2" spans="1:2" x14ac:dyDescent="0.3">
      <c r="A2" s="2" t="s">
        <v>41</v>
      </c>
      <c r="B2" s="2" t="s">
        <v>42</v>
      </c>
    </row>
    <row r="3" spans="1:2" x14ac:dyDescent="0.3">
      <c r="A3" s="2" t="s">
        <v>43</v>
      </c>
      <c r="B3" s="2">
        <v>1000000</v>
      </c>
    </row>
    <row r="4" spans="1:2" ht="30.05" x14ac:dyDescent="0.3">
      <c r="A4" s="2" t="s">
        <v>44</v>
      </c>
      <c r="B4" s="2" t="s">
        <v>45</v>
      </c>
    </row>
    <row r="5" spans="1:2" x14ac:dyDescent="0.3">
      <c r="A5" s="2" t="s">
        <v>46</v>
      </c>
      <c r="B5" s="2">
        <v>3333333.333333333</v>
      </c>
    </row>
    <row r="6" spans="1:2" x14ac:dyDescent="0.3">
      <c r="A6" s="2" t="s">
        <v>47</v>
      </c>
      <c r="B6" s="2">
        <v>6666.6666666666661</v>
      </c>
    </row>
    <row r="7" spans="1:2" x14ac:dyDescent="0.3">
      <c r="A7" s="2" t="s">
        <v>48</v>
      </c>
      <c r="B7" s="2">
        <v>3333.333333333333</v>
      </c>
    </row>
    <row r="8" spans="1:2" ht="30.05" x14ac:dyDescent="0.3">
      <c r="A8" s="2" t="s">
        <v>49</v>
      </c>
      <c r="B8" s="2" t="s">
        <v>50</v>
      </c>
    </row>
  </sheetData>
  <autoFilter ref="A1:B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9" customWidth="1"/>
    <col min="2" max="2" width="14" customWidth="1"/>
    <col min="3" max="3" width="16" customWidth="1"/>
    <col min="4" max="4" width="20" customWidth="1"/>
  </cols>
  <sheetData>
    <row r="1" spans="1:4" ht="30.05" customHeight="1" x14ac:dyDescent="0.3">
      <c r="A1" s="1" t="s">
        <v>23</v>
      </c>
      <c r="B1" s="1" t="s">
        <v>27</v>
      </c>
      <c r="C1" s="1" t="s">
        <v>29</v>
      </c>
      <c r="D1" s="1" t="s">
        <v>31</v>
      </c>
    </row>
    <row r="2" spans="1:4" x14ac:dyDescent="0.3">
      <c r="A2" s="2">
        <v>0.5</v>
      </c>
      <c r="B2" s="2">
        <v>500000</v>
      </c>
      <c r="C2" s="2">
        <v>250000</v>
      </c>
      <c r="D2" s="2">
        <v>250000</v>
      </c>
    </row>
    <row r="3" spans="1:4" x14ac:dyDescent="0.3">
      <c r="A3" s="2">
        <v>0.55000000000000004</v>
      </c>
      <c r="B3" s="2">
        <v>500000</v>
      </c>
      <c r="C3" s="2">
        <v>275000</v>
      </c>
      <c r="D3" s="2">
        <v>225000</v>
      </c>
    </row>
    <row r="4" spans="1:4" x14ac:dyDescent="0.3">
      <c r="A4" s="2">
        <v>0.6</v>
      </c>
      <c r="B4" s="2">
        <v>500000</v>
      </c>
      <c r="C4" s="2">
        <v>300000</v>
      </c>
      <c r="D4" s="2">
        <v>200000</v>
      </c>
    </row>
    <row r="5" spans="1:4" x14ac:dyDescent="0.3">
      <c r="A5" s="2">
        <v>0.65</v>
      </c>
      <c r="B5" s="2">
        <v>500000</v>
      </c>
      <c r="C5" s="2">
        <v>325000</v>
      </c>
      <c r="D5" s="2">
        <v>175000</v>
      </c>
    </row>
    <row r="6" spans="1:4" x14ac:dyDescent="0.3">
      <c r="A6" s="2">
        <v>0.7</v>
      </c>
      <c r="B6" s="2">
        <v>500000</v>
      </c>
      <c r="C6" s="2">
        <v>350000</v>
      </c>
      <c r="D6" s="2">
        <v>150000</v>
      </c>
    </row>
    <row r="7" spans="1:4" x14ac:dyDescent="0.3">
      <c r="A7" s="2">
        <v>0.75</v>
      </c>
      <c r="B7" s="2">
        <v>500000</v>
      </c>
      <c r="C7" s="2">
        <v>375000</v>
      </c>
      <c r="D7" s="2">
        <v>125000</v>
      </c>
    </row>
    <row r="8" spans="1:4" x14ac:dyDescent="0.3">
      <c r="A8" s="2">
        <v>0.8</v>
      </c>
      <c r="B8" s="2">
        <v>500000</v>
      </c>
      <c r="C8" s="2">
        <v>400000</v>
      </c>
      <c r="D8" s="2">
        <v>99999.999999999971</v>
      </c>
    </row>
    <row r="9" spans="1:4" x14ac:dyDescent="0.3">
      <c r="A9" s="2">
        <v>0.85</v>
      </c>
      <c r="B9" s="2">
        <v>500000</v>
      </c>
      <c r="C9" s="2">
        <v>425000</v>
      </c>
      <c r="D9" s="2">
        <v>75000.000000000015</v>
      </c>
    </row>
    <row r="10" spans="1:4" x14ac:dyDescent="0.3">
      <c r="A10" s="2">
        <v>0.9</v>
      </c>
      <c r="B10" s="2">
        <v>500000</v>
      </c>
      <c r="C10" s="2">
        <v>450000</v>
      </c>
      <c r="D10" s="2">
        <v>49999.999999999993</v>
      </c>
    </row>
  </sheetData>
  <autoFilter ref="A1:D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3" width="14" customWidth="1"/>
    <col min="4" max="5" width="20" customWidth="1"/>
  </cols>
  <sheetData>
    <row r="1" spans="1:5" ht="30.05" customHeight="1" x14ac:dyDescent="0.3">
      <c r="A1" s="1" t="s">
        <v>19</v>
      </c>
      <c r="B1" s="1" t="s">
        <v>51</v>
      </c>
      <c r="C1" s="1" t="s">
        <v>27</v>
      </c>
      <c r="D1" s="1" t="s">
        <v>29</v>
      </c>
      <c r="E1" s="1" t="s">
        <v>31</v>
      </c>
    </row>
    <row r="2" spans="1:5" x14ac:dyDescent="0.3">
      <c r="A2" s="2">
        <v>500</v>
      </c>
      <c r="B2" s="2">
        <v>400</v>
      </c>
      <c r="C2" s="2">
        <v>200000</v>
      </c>
      <c r="D2" s="2">
        <v>140000</v>
      </c>
      <c r="E2" s="2">
        <v>60000.000000000007</v>
      </c>
    </row>
    <row r="3" spans="1:5" x14ac:dyDescent="0.3">
      <c r="A3" s="2">
        <v>500</v>
      </c>
      <c r="B3" s="2">
        <v>450</v>
      </c>
      <c r="C3" s="2">
        <v>225000</v>
      </c>
      <c r="D3" s="2">
        <v>157500</v>
      </c>
      <c r="E3" s="2">
        <v>67500.000000000015</v>
      </c>
    </row>
    <row r="4" spans="1:5" x14ac:dyDescent="0.3">
      <c r="A4" s="2">
        <v>500</v>
      </c>
      <c r="B4" s="2">
        <v>500</v>
      </c>
      <c r="C4" s="2">
        <v>250000</v>
      </c>
      <c r="D4" s="2">
        <v>175000</v>
      </c>
      <c r="E4" s="2">
        <v>75000.000000000015</v>
      </c>
    </row>
    <row r="5" spans="1:5" x14ac:dyDescent="0.3">
      <c r="A5" s="2">
        <v>500</v>
      </c>
      <c r="B5" s="2">
        <v>550</v>
      </c>
      <c r="C5" s="2">
        <v>275000</v>
      </c>
      <c r="D5" s="2">
        <v>192500</v>
      </c>
      <c r="E5" s="2">
        <v>82500.000000000015</v>
      </c>
    </row>
    <row r="6" spans="1:5" x14ac:dyDescent="0.3">
      <c r="A6" s="2">
        <v>500</v>
      </c>
      <c r="B6" s="2">
        <v>600</v>
      </c>
      <c r="C6" s="2">
        <v>300000</v>
      </c>
      <c r="D6" s="2">
        <v>210000</v>
      </c>
      <c r="E6" s="2">
        <v>90000.000000000015</v>
      </c>
    </row>
    <row r="7" spans="1:5" x14ac:dyDescent="0.3">
      <c r="A7" s="2">
        <v>750</v>
      </c>
      <c r="B7" s="2">
        <v>400</v>
      </c>
      <c r="C7" s="2">
        <v>300000</v>
      </c>
      <c r="D7" s="2">
        <v>210000</v>
      </c>
      <c r="E7" s="2">
        <v>90000.000000000015</v>
      </c>
    </row>
    <row r="8" spans="1:5" x14ac:dyDescent="0.3">
      <c r="A8" s="2">
        <v>750</v>
      </c>
      <c r="B8" s="2">
        <v>450</v>
      </c>
      <c r="C8" s="2">
        <v>337500</v>
      </c>
      <c r="D8" s="2">
        <v>236250</v>
      </c>
      <c r="E8" s="2">
        <v>101250</v>
      </c>
    </row>
    <row r="9" spans="1:5" x14ac:dyDescent="0.3">
      <c r="A9" s="2">
        <v>750</v>
      </c>
      <c r="B9" s="2">
        <v>500</v>
      </c>
      <c r="C9" s="2">
        <v>375000</v>
      </c>
      <c r="D9" s="2">
        <v>262500</v>
      </c>
      <c r="E9" s="2">
        <v>112500</v>
      </c>
    </row>
    <row r="10" spans="1:5" x14ac:dyDescent="0.3">
      <c r="A10" s="2">
        <v>750</v>
      </c>
      <c r="B10" s="2">
        <v>550</v>
      </c>
      <c r="C10" s="2">
        <v>412500</v>
      </c>
      <c r="D10" s="2">
        <v>288750</v>
      </c>
      <c r="E10" s="2">
        <v>123750</v>
      </c>
    </row>
    <row r="11" spans="1:5" x14ac:dyDescent="0.3">
      <c r="A11" s="2">
        <v>750</v>
      </c>
      <c r="B11" s="2">
        <v>600</v>
      </c>
      <c r="C11" s="2">
        <v>450000</v>
      </c>
      <c r="D11" s="2">
        <v>315000</v>
      </c>
      <c r="E11" s="2">
        <v>135000</v>
      </c>
    </row>
    <row r="12" spans="1:5" x14ac:dyDescent="0.3">
      <c r="A12" s="2">
        <v>1000</v>
      </c>
      <c r="B12" s="2">
        <v>400</v>
      </c>
      <c r="C12" s="2">
        <v>400000</v>
      </c>
      <c r="D12" s="2">
        <v>280000</v>
      </c>
      <c r="E12" s="2">
        <v>120000</v>
      </c>
    </row>
    <row r="13" spans="1:5" x14ac:dyDescent="0.3">
      <c r="A13" s="2">
        <v>1000</v>
      </c>
      <c r="B13" s="2">
        <v>450</v>
      </c>
      <c r="C13" s="2">
        <v>450000</v>
      </c>
      <c r="D13" s="2">
        <v>315000</v>
      </c>
      <c r="E13" s="2">
        <v>135000</v>
      </c>
    </row>
    <row r="14" spans="1:5" x14ac:dyDescent="0.3">
      <c r="A14" s="2">
        <v>1000</v>
      </c>
      <c r="B14" s="2">
        <v>500</v>
      </c>
      <c r="C14" s="2">
        <v>500000</v>
      </c>
      <c r="D14" s="2">
        <v>350000</v>
      </c>
      <c r="E14" s="2">
        <v>150000</v>
      </c>
    </row>
    <row r="15" spans="1:5" x14ac:dyDescent="0.3">
      <c r="A15" s="2">
        <v>1000</v>
      </c>
      <c r="B15" s="2">
        <v>550</v>
      </c>
      <c r="C15" s="2">
        <v>550000</v>
      </c>
      <c r="D15" s="2">
        <v>385000</v>
      </c>
      <c r="E15" s="2">
        <v>165000</v>
      </c>
    </row>
    <row r="16" spans="1:5" x14ac:dyDescent="0.3">
      <c r="A16" s="2">
        <v>1000</v>
      </c>
      <c r="B16" s="2">
        <v>600</v>
      </c>
      <c r="C16" s="2">
        <v>600000</v>
      </c>
      <c r="D16" s="2">
        <v>420000</v>
      </c>
      <c r="E16" s="2">
        <v>180000</v>
      </c>
    </row>
    <row r="17" spans="1:5" x14ac:dyDescent="0.3">
      <c r="A17" s="2">
        <v>1250</v>
      </c>
      <c r="B17" s="2">
        <v>400</v>
      </c>
      <c r="C17" s="2">
        <v>500000</v>
      </c>
      <c r="D17" s="2">
        <v>350000</v>
      </c>
      <c r="E17" s="2">
        <v>150000</v>
      </c>
    </row>
    <row r="18" spans="1:5" x14ac:dyDescent="0.3">
      <c r="A18" s="2">
        <v>1250</v>
      </c>
      <c r="B18" s="2">
        <v>450</v>
      </c>
      <c r="C18" s="2">
        <v>562500</v>
      </c>
      <c r="D18" s="2">
        <v>393750</v>
      </c>
      <c r="E18" s="2">
        <v>168750</v>
      </c>
    </row>
    <row r="19" spans="1:5" x14ac:dyDescent="0.3">
      <c r="A19" s="2">
        <v>1250</v>
      </c>
      <c r="B19" s="2">
        <v>500</v>
      </c>
      <c r="C19" s="2">
        <v>625000</v>
      </c>
      <c r="D19" s="2">
        <v>437500</v>
      </c>
      <c r="E19" s="2">
        <v>187500</v>
      </c>
    </row>
    <row r="20" spans="1:5" x14ac:dyDescent="0.3">
      <c r="A20" s="2">
        <v>1250</v>
      </c>
      <c r="B20" s="2">
        <v>550</v>
      </c>
      <c r="C20" s="2">
        <v>687500</v>
      </c>
      <c r="D20" s="2">
        <v>481249.99999999988</v>
      </c>
      <c r="E20" s="2">
        <v>206250</v>
      </c>
    </row>
    <row r="21" spans="1:5" x14ac:dyDescent="0.3">
      <c r="A21" s="2">
        <v>1250</v>
      </c>
      <c r="B21" s="2">
        <v>600</v>
      </c>
      <c r="C21" s="2">
        <v>750000</v>
      </c>
      <c r="D21" s="2">
        <v>525000</v>
      </c>
      <c r="E21" s="2">
        <v>225000</v>
      </c>
    </row>
    <row r="22" spans="1:5" x14ac:dyDescent="0.3">
      <c r="A22" s="2">
        <v>1500</v>
      </c>
      <c r="B22" s="2">
        <v>400</v>
      </c>
      <c r="C22" s="2">
        <v>600000</v>
      </c>
      <c r="D22" s="2">
        <v>420000</v>
      </c>
      <c r="E22" s="2">
        <v>180000</v>
      </c>
    </row>
    <row r="23" spans="1:5" x14ac:dyDescent="0.3">
      <c r="A23" s="2">
        <v>1500</v>
      </c>
      <c r="B23" s="2">
        <v>450</v>
      </c>
      <c r="C23" s="2">
        <v>675000</v>
      </c>
      <c r="D23" s="2">
        <v>472499.99999999988</v>
      </c>
      <c r="E23" s="2">
        <v>202500</v>
      </c>
    </row>
    <row r="24" spans="1:5" x14ac:dyDescent="0.3">
      <c r="A24" s="2">
        <v>1500</v>
      </c>
      <c r="B24" s="2">
        <v>500</v>
      </c>
      <c r="C24" s="2">
        <v>750000</v>
      </c>
      <c r="D24" s="2">
        <v>525000</v>
      </c>
      <c r="E24" s="2">
        <v>225000</v>
      </c>
    </row>
    <row r="25" spans="1:5" x14ac:dyDescent="0.3">
      <c r="A25" s="2">
        <v>1500</v>
      </c>
      <c r="B25" s="2">
        <v>550</v>
      </c>
      <c r="C25" s="2">
        <v>825000</v>
      </c>
      <c r="D25" s="2">
        <v>577500</v>
      </c>
      <c r="E25" s="2">
        <v>247500</v>
      </c>
    </row>
    <row r="26" spans="1:5" x14ac:dyDescent="0.3">
      <c r="A26" s="2">
        <v>1500</v>
      </c>
      <c r="B26" s="2">
        <v>600</v>
      </c>
      <c r="C26" s="2">
        <v>900000</v>
      </c>
      <c r="D26" s="2">
        <v>630000</v>
      </c>
      <c r="E26" s="2">
        <v>270000.00000000012</v>
      </c>
    </row>
  </sheetData>
  <autoFilter ref="A1:E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5" customWidth="1"/>
    <col min="2" max="3" width="14" customWidth="1"/>
    <col min="4" max="4" width="19" customWidth="1"/>
    <col min="5" max="6" width="14" customWidth="1"/>
    <col min="7" max="8" width="20" customWidth="1"/>
  </cols>
  <sheetData>
    <row r="1" spans="1:8" ht="30.05" customHeight="1" x14ac:dyDescent="0.3">
      <c r="A1" s="1" t="s">
        <v>52</v>
      </c>
      <c r="B1" s="1" t="s">
        <v>19</v>
      </c>
      <c r="C1" s="1" t="s">
        <v>51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</row>
    <row r="2" spans="1:8" x14ac:dyDescent="0.3">
      <c r="A2" s="2" t="s">
        <v>53</v>
      </c>
      <c r="B2" s="2">
        <v>1000</v>
      </c>
      <c r="C2" s="2">
        <v>500</v>
      </c>
      <c r="D2" s="2">
        <v>0.7</v>
      </c>
      <c r="E2" s="2">
        <v>0</v>
      </c>
      <c r="F2" s="2">
        <v>500000</v>
      </c>
      <c r="G2" s="2">
        <v>350000</v>
      </c>
      <c r="H2" s="2">
        <v>150000</v>
      </c>
    </row>
    <row r="3" spans="1:8" x14ac:dyDescent="0.3">
      <c r="A3" s="2" t="s">
        <v>54</v>
      </c>
      <c r="B3" s="2">
        <v>1300</v>
      </c>
      <c r="C3" s="2">
        <v>525</v>
      </c>
      <c r="D3" s="2">
        <v>0.68</v>
      </c>
      <c r="E3" s="2">
        <v>0</v>
      </c>
      <c r="F3" s="2">
        <v>682500</v>
      </c>
      <c r="G3" s="2">
        <v>464100.00000000012</v>
      </c>
      <c r="H3" s="2">
        <v>218399.99999999991</v>
      </c>
    </row>
    <row r="4" spans="1:8" x14ac:dyDescent="0.3">
      <c r="A4" s="2" t="s">
        <v>55</v>
      </c>
      <c r="B4" s="2">
        <v>1000</v>
      </c>
      <c r="C4" s="2">
        <v>500</v>
      </c>
      <c r="D4" s="2">
        <v>0.78</v>
      </c>
      <c r="E4" s="2">
        <v>25000</v>
      </c>
      <c r="F4" s="2">
        <v>500000</v>
      </c>
      <c r="G4" s="2">
        <v>390000</v>
      </c>
      <c r="H4" s="2">
        <v>85000</v>
      </c>
    </row>
  </sheetData>
  <autoFilter ref="A1:H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tabSelected="1" workbookViewId="0"/>
  </sheetViews>
  <sheetFormatPr defaultRowHeight="15.05" x14ac:dyDescent="0.3"/>
  <cols>
    <col min="1" max="1" width="34" customWidth="1"/>
    <col min="2" max="2" width="17" customWidth="1"/>
    <col min="3" max="3" width="14" customWidth="1"/>
    <col min="4" max="4" width="48" customWidth="1"/>
  </cols>
  <sheetData>
    <row r="1" spans="1:4" ht="30.05" customHeight="1" x14ac:dyDescent="0.3">
      <c r="A1" s="1" t="s">
        <v>56</v>
      </c>
      <c r="B1" s="1" t="s">
        <v>57</v>
      </c>
      <c r="C1" s="1" t="s">
        <v>58</v>
      </c>
      <c r="D1" s="1" t="s">
        <v>18</v>
      </c>
    </row>
    <row r="2" spans="1:4" x14ac:dyDescent="0.3">
      <c r="A2" s="2" t="s">
        <v>59</v>
      </c>
      <c r="B2" s="2">
        <v>0</v>
      </c>
      <c r="C2" s="2">
        <v>0</v>
      </c>
      <c r="D2" s="2" t="s">
        <v>60</v>
      </c>
    </row>
    <row r="3" spans="1:4" x14ac:dyDescent="0.3">
      <c r="A3" s="2" t="s">
        <v>61</v>
      </c>
      <c r="B3" s="2">
        <v>120</v>
      </c>
      <c r="C3" s="2">
        <v>90</v>
      </c>
      <c r="D3" s="2" t="s">
        <v>62</v>
      </c>
    </row>
    <row r="4" spans="1:4" x14ac:dyDescent="0.3">
      <c r="A4" s="2" t="s">
        <v>63</v>
      </c>
      <c r="B4" s="2">
        <v>2</v>
      </c>
      <c r="C4" s="2">
        <v>1</v>
      </c>
      <c r="D4" s="2" t="s">
        <v>62</v>
      </c>
    </row>
    <row r="5" spans="1:4" x14ac:dyDescent="0.3">
      <c r="A5" s="2" t="s">
        <v>64</v>
      </c>
      <c r="B5" s="2">
        <f>B2*B3+C2*C3</f>
        <v>0</v>
      </c>
      <c r="C5" s="2"/>
      <c r="D5" s="2" t="s">
        <v>65</v>
      </c>
    </row>
    <row r="6" spans="1:4" x14ac:dyDescent="0.3">
      <c r="A6" s="2" t="s">
        <v>66</v>
      </c>
      <c r="B6" s="2">
        <f>B2*B4+C2*C4</f>
        <v>0</v>
      </c>
      <c r="C6" s="2"/>
      <c r="D6" s="2" t="s">
        <v>67</v>
      </c>
    </row>
    <row r="7" spans="1:4" x14ac:dyDescent="0.3">
      <c r="A7" s="2" t="s">
        <v>68</v>
      </c>
      <c r="B7" s="2">
        <v>1000</v>
      </c>
      <c r="C7" s="2"/>
      <c r="D7" s="2" t="s">
        <v>69</v>
      </c>
    </row>
    <row r="8" spans="1:4" x14ac:dyDescent="0.3">
      <c r="A8" s="2" t="s">
        <v>70</v>
      </c>
      <c r="B8" s="2" t="s">
        <v>71</v>
      </c>
      <c r="C8" s="2"/>
      <c r="D8" s="2" t="s">
        <v>72</v>
      </c>
    </row>
    <row r="9" spans="1:4" ht="30.05" x14ac:dyDescent="0.3">
      <c r="A9" s="2" t="s">
        <v>73</v>
      </c>
      <c r="B9" s="2">
        <v>0</v>
      </c>
      <c r="C9" s="2">
        <v>1000</v>
      </c>
      <c r="D9" s="2" t="s">
        <v>74</v>
      </c>
    </row>
    <row r="10" spans="1:4" x14ac:dyDescent="0.3">
      <c r="A10" s="2" t="s">
        <v>75</v>
      </c>
      <c r="B10" s="2">
        <v>90000</v>
      </c>
      <c r="C10" s="2"/>
      <c r="D10" s="2" t="s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32" customWidth="1"/>
    <col min="2" max="2" width="48" customWidth="1"/>
  </cols>
  <sheetData>
    <row r="1" spans="1:2" ht="30.05" customHeight="1" x14ac:dyDescent="0.3">
      <c r="A1" s="1" t="s">
        <v>77</v>
      </c>
      <c r="B1" s="1" t="s">
        <v>17</v>
      </c>
    </row>
    <row r="2" spans="1:2" x14ac:dyDescent="0.3">
      <c r="A2" s="2" t="s">
        <v>78</v>
      </c>
      <c r="B2" s="2">
        <v>10025</v>
      </c>
    </row>
    <row r="3" spans="1:2" x14ac:dyDescent="0.3">
      <c r="A3" s="2" t="s">
        <v>79</v>
      </c>
      <c r="B3" s="2">
        <v>439777559.38999999</v>
      </c>
    </row>
    <row r="4" spans="1:2" x14ac:dyDescent="0.3">
      <c r="A4" s="2" t="s">
        <v>80</v>
      </c>
      <c r="B4" s="2">
        <v>32416</v>
      </c>
    </row>
    <row r="5" spans="1:2" ht="30.05" x14ac:dyDescent="0.3">
      <c r="A5" s="2" t="s">
        <v>81</v>
      </c>
      <c r="B5" s="2" t="s">
        <v>82</v>
      </c>
    </row>
  </sheetData>
  <autoFilter ref="A1:B5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What_If_Model</vt:lpstr>
      <vt:lpstr>Goal_Seek_Reference</vt:lpstr>
      <vt:lpstr>One_Variable_Table</vt:lpstr>
      <vt:lpstr>Two_Variable_Table</vt:lpstr>
      <vt:lpstr>Scenario_Summary</vt:lpstr>
      <vt:lpstr>Solver_Model</vt:lpstr>
      <vt:lpstr>Dataset_Reference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2026-09-18T05:59:28Z</dcterms:created>
  <dcterms:modified xsi:type="dcterms:W3CDTF">2026-09-18T06:02:45Z</dcterms:modified>
</cp:coreProperties>
</file>